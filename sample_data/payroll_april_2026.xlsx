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za\Desktop\"/>
    </mc:Choice>
  </mc:AlternateContent>
  <xr:revisionPtr revIDLastSave="0" documentId="11_71DBB5D0AA0DFB4055A120829CB5453CA7DE728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i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<sst xmlns="http://schemas.openxmlformats.org/spreadsheetml/2006/main" count="73" uniqueCount="49">
  <si>
    <t>Northshore Community Housing — April 2026 Payroll Export</t>
  </si>
  <si>
    <t>Monthly payroll export for finance/payroll reconciliation</t>
  </si>
  <si>
    <t>Employee</t>
  </si>
  <si>
    <t>Department</t>
  </si>
  <si>
    <t>GrossMonthly</t>
  </si>
  <si>
    <t>PreTaxPen</t>
  </si>
  <si>
    <t>PAYE</t>
  </si>
  <si>
    <t>EesNI</t>
  </si>
  <si>
    <t>PostTaxPen</t>
  </si>
  <si>
    <t>NetPay</t>
  </si>
  <si>
    <t>ErsNI</t>
  </si>
  <si>
    <t>ErsPen</t>
  </si>
  <si>
    <t>Imogen Wallace</t>
  </si>
  <si>
    <t>Finance</t>
  </si>
  <si>
    <t>Daniel Okafor</t>
  </si>
  <si>
    <t>Nadia Patel</t>
  </si>
  <si>
    <t>Gareth Lloyd</t>
  </si>
  <si>
    <t>Housing</t>
  </si>
  <si>
    <t>Chloe Armstrong</t>
  </si>
  <si>
    <t>Sean MacLeod</t>
  </si>
  <si>
    <t>Amara Khan</t>
  </si>
  <si>
    <t>Oliver Bennett</t>
  </si>
  <si>
    <t>Operations</t>
  </si>
  <si>
    <t>Sophie Green</t>
  </si>
  <si>
    <t>Reuben Clarke</t>
  </si>
  <si>
    <t>Fatima Ali</t>
  </si>
  <si>
    <t>Martin Hughes</t>
  </si>
  <si>
    <t>Admin</t>
  </si>
  <si>
    <t>Leanne Carter</t>
  </si>
  <si>
    <t>Hannah Whitaker</t>
  </si>
  <si>
    <t>Priya Nair</t>
  </si>
  <si>
    <t>HR</t>
  </si>
  <si>
    <t>Elliot Spencer</t>
  </si>
  <si>
    <t>Rebecca Shaw</t>
  </si>
  <si>
    <t>Tomos Griffiths</t>
  </si>
  <si>
    <t>Support Services</t>
  </si>
  <si>
    <t>Eleanor Brooks</t>
  </si>
  <si>
    <t>Callum McIntyre</t>
  </si>
  <si>
    <t>Jasmine Turner</t>
  </si>
  <si>
    <t>Marcus Hill</t>
  </si>
  <si>
    <t>Lucy Morrison</t>
  </si>
  <si>
    <t>Peter Walsh</t>
  </si>
  <si>
    <t>Ruth Edwards</t>
  </si>
  <si>
    <t>Kieran O'Neill</t>
  </si>
  <si>
    <t>Yasmin Begum</t>
  </si>
  <si>
    <t>George Atkinson</t>
  </si>
  <si>
    <t>Amina Suleiman</t>
  </si>
  <si>
    <t>Patrick Roberts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</si>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</sst>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;[Red]\-\£#,##0.00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1F4E78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164" fontId="4" fillId="5" borderId="0" xfId="0" applyNumberFormat="1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rilPayrollTable" displayName="AprilPayrollTable" ref="A3:J33">
  <tableColumns count="10">
    <tableColumn id="1" xr3:uid="{00000000-0010-0000-0000-000001000000}" name="Employee"/>
    <tableColumn id="2" xr3:uid="{00000000-0010-0000-0000-000002000000}" name="Department"/>
    <tableColumn id="3" xr3:uid="{00000000-0010-0000-0000-000003000000}" name="GrossMonthly"/>
    <tableColumn id="4" xr3:uid="{00000000-0010-0000-0000-000004000000}" name="PreTaxPen"/>
    <tableColumn id="5" xr3:uid="{00000000-0010-0000-0000-000005000000}" name="PAYE"/>
    <tableColumn id="6" xr3:uid="{00000000-0010-0000-0000-000006000000}" name="EesNI"/>
    <tableColumn id="7" xr3:uid="{00000000-0010-0000-0000-000007000000}" name="PostTaxPen"/>
    <tableColumn id="8" xr3:uid="{00000000-0010-0000-0000-000008000000}" name="NetPay"/>
    <tableColumn id="9" xr3:uid="{00000000-0010-0000-0000-000009000000}" name="ErsNI"/>
    <tableColumn id="10" xr3:uid="{00000000-0010-0000-0000-00000A000000}" name="ErsP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B3" sqref="B3"/>
    </sheetView>
  </sheetViews>
  <sheetFormatPr defaultRowHeight="14.25"/>
  <cols>
    <col min="1" max="1" width="24" customWidth="1"/>
    <col min="2" max="2" width="18" customWidth="1"/>
    <col min="3" max="10" width="13" customWidth="1"/>
  </cols>
  <sheetData>
    <row r="1" spans="1:10" ht="2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21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8" customHeight="1">
      <c r="A4" s="3" t="s">
        <v>12</v>
      </c>
      <c r="B4" s="3" t="s">
        <v>13</v>
      </c>
      <c r="C4" s="5">
        <v>3650</v>
      </c>
      <c r="D4" s="5">
        <v>182.5</v>
      </c>
      <c r="E4" s="5">
        <v>484</v>
      </c>
      <c r="F4" s="5">
        <v>208.2</v>
      </c>
      <c r="G4" s="5">
        <v>0</v>
      </c>
      <c r="H4" s="5">
        <v>2775.3</v>
      </c>
      <c r="I4" s="5">
        <v>399.05</v>
      </c>
      <c r="J4" s="5">
        <v>273.75</v>
      </c>
    </row>
    <row r="5" spans="1:10" ht="18" customHeight="1">
      <c r="A5" s="3" t="s">
        <v>14</v>
      </c>
      <c r="B5" s="3" t="s">
        <v>13</v>
      </c>
      <c r="C5" s="5">
        <v>2920</v>
      </c>
      <c r="D5" s="5">
        <v>146</v>
      </c>
      <c r="E5" s="5">
        <v>345.3</v>
      </c>
      <c r="F5" s="5">
        <v>149.80000000000001</v>
      </c>
      <c r="G5" s="5">
        <v>29.2</v>
      </c>
      <c r="H5" s="5">
        <v>2249.6999999999998</v>
      </c>
      <c r="I5" s="5">
        <v>298.31</v>
      </c>
      <c r="J5" s="5">
        <v>204.4</v>
      </c>
    </row>
    <row r="6" spans="1:10" ht="18" customHeight="1">
      <c r="A6" s="3" t="s">
        <v>15</v>
      </c>
      <c r="B6" s="3" t="s">
        <v>13</v>
      </c>
      <c r="C6" s="5">
        <v>3180</v>
      </c>
      <c r="D6" s="5">
        <v>190.8</v>
      </c>
      <c r="E6" s="5">
        <v>388.34</v>
      </c>
      <c r="F6" s="5">
        <v>170.6</v>
      </c>
      <c r="G6" s="5">
        <v>0</v>
      </c>
      <c r="H6" s="5">
        <v>2430.2600000000002</v>
      </c>
      <c r="I6" s="5">
        <v>334.19</v>
      </c>
      <c r="J6" s="5">
        <v>238.5</v>
      </c>
    </row>
    <row r="7" spans="1:10" ht="18" customHeight="1">
      <c r="A7" s="3" t="s">
        <v>16</v>
      </c>
      <c r="B7" s="3" t="s">
        <v>17</v>
      </c>
      <c r="C7" s="5">
        <v>3482</v>
      </c>
      <c r="D7" s="5">
        <v>174.1</v>
      </c>
      <c r="E7" s="5">
        <v>452.08</v>
      </c>
      <c r="F7" s="5">
        <v>194.76</v>
      </c>
      <c r="G7" s="5">
        <v>0</v>
      </c>
      <c r="H7" s="5">
        <v>2661.06</v>
      </c>
      <c r="I7" s="5">
        <v>375.87</v>
      </c>
      <c r="J7" s="5">
        <v>243.74</v>
      </c>
    </row>
    <row r="8" spans="1:10" ht="18" customHeight="1">
      <c r="A8" s="3" t="s">
        <v>18</v>
      </c>
      <c r="B8" s="3" t="s">
        <v>17</v>
      </c>
      <c r="C8" s="5">
        <v>2760</v>
      </c>
      <c r="D8" s="5">
        <v>110.4</v>
      </c>
      <c r="E8" s="5">
        <v>320.42</v>
      </c>
      <c r="F8" s="5">
        <v>137</v>
      </c>
      <c r="G8" s="5">
        <v>13.8</v>
      </c>
      <c r="H8" s="5">
        <v>2178.38</v>
      </c>
      <c r="I8" s="5">
        <v>276.23</v>
      </c>
      <c r="J8" s="5">
        <v>179.4</v>
      </c>
    </row>
    <row r="9" spans="1:10" ht="18" customHeight="1">
      <c r="A9" s="3" t="s">
        <v>19</v>
      </c>
      <c r="B9" s="3" t="s">
        <v>17</v>
      </c>
      <c r="C9" s="5">
        <v>4200</v>
      </c>
      <c r="D9" s="5">
        <v>210</v>
      </c>
      <c r="E9" s="5">
        <v>588.5</v>
      </c>
      <c r="F9" s="5">
        <v>251.55</v>
      </c>
      <c r="G9" s="5">
        <v>0</v>
      </c>
      <c r="H9" s="5">
        <v>3149.95</v>
      </c>
      <c r="I9" s="5">
        <v>474.95</v>
      </c>
      <c r="J9" s="5">
        <v>336</v>
      </c>
    </row>
    <row r="10" spans="1:10" ht="18" customHeight="1">
      <c r="A10" s="3" t="s">
        <v>20</v>
      </c>
      <c r="B10" s="3" t="s">
        <v>17</v>
      </c>
      <c r="C10" s="5">
        <v>2575</v>
      </c>
      <c r="D10" s="5">
        <v>128.75</v>
      </c>
      <c r="E10" s="5">
        <v>279.75</v>
      </c>
      <c r="F10" s="5">
        <v>122.2</v>
      </c>
      <c r="G10" s="5">
        <v>0</v>
      </c>
      <c r="H10" s="5">
        <v>2044.3</v>
      </c>
      <c r="I10" s="5">
        <v>250.7</v>
      </c>
      <c r="J10" s="5">
        <v>180.25</v>
      </c>
    </row>
    <row r="11" spans="1:10" ht="18" customHeight="1">
      <c r="A11" s="3" t="s">
        <v>21</v>
      </c>
      <c r="B11" s="3" t="s">
        <v>22</v>
      </c>
      <c r="C11" s="5">
        <v>3350</v>
      </c>
      <c r="D11" s="5">
        <v>167.5</v>
      </c>
      <c r="E11" s="5">
        <v>427</v>
      </c>
      <c r="F11" s="5">
        <v>184.2</v>
      </c>
      <c r="G11" s="5">
        <v>33.5</v>
      </c>
      <c r="H11" s="5">
        <v>2537.8000000000002</v>
      </c>
      <c r="I11" s="5">
        <v>357.65</v>
      </c>
      <c r="J11" s="5">
        <v>234.5</v>
      </c>
    </row>
    <row r="12" spans="1:10" ht="18" customHeight="1">
      <c r="A12" s="3" t="s">
        <v>23</v>
      </c>
      <c r="B12" s="3" t="s">
        <v>22</v>
      </c>
      <c r="C12" s="5">
        <v>2230</v>
      </c>
      <c r="D12" s="5">
        <v>66.900000000000006</v>
      </c>
      <c r="E12" s="5">
        <v>223.12</v>
      </c>
      <c r="F12" s="5">
        <v>94.6</v>
      </c>
      <c r="G12" s="5">
        <v>0</v>
      </c>
      <c r="H12" s="5">
        <v>1845.38</v>
      </c>
      <c r="I12" s="5">
        <v>203.09</v>
      </c>
      <c r="J12" s="5">
        <v>133.80000000000001</v>
      </c>
    </row>
    <row r="13" spans="1:10" ht="18" customHeight="1">
      <c r="A13" s="3" t="s">
        <v>24</v>
      </c>
      <c r="B13" s="3" t="s">
        <v>22</v>
      </c>
      <c r="C13" s="5">
        <v>3985</v>
      </c>
      <c r="D13" s="5">
        <v>239.1</v>
      </c>
      <c r="E13" s="5">
        <v>539.67999999999995</v>
      </c>
      <c r="F13" s="5">
        <v>235</v>
      </c>
      <c r="G13" s="5">
        <v>0</v>
      </c>
      <c r="H13" s="5">
        <v>2971.22</v>
      </c>
      <c r="I13" s="5">
        <v>445.28</v>
      </c>
      <c r="J13" s="5">
        <v>318.8</v>
      </c>
    </row>
    <row r="14" spans="1:10" ht="18" customHeight="1">
      <c r="A14" s="3" t="s">
        <v>25</v>
      </c>
      <c r="B14" s="3" t="s">
        <v>22</v>
      </c>
      <c r="C14" s="5">
        <v>2860</v>
      </c>
      <c r="D14" s="5">
        <v>143</v>
      </c>
      <c r="E14" s="5">
        <v>333.9</v>
      </c>
      <c r="F14" s="5">
        <v>145</v>
      </c>
      <c r="G14" s="5">
        <v>0</v>
      </c>
      <c r="H14" s="5">
        <v>2238.1</v>
      </c>
      <c r="I14" s="5">
        <v>290.02999999999997</v>
      </c>
      <c r="J14" s="5">
        <v>200.2</v>
      </c>
    </row>
    <row r="15" spans="1:10" ht="18" customHeight="1">
      <c r="A15" s="3" t="s">
        <v>26</v>
      </c>
      <c r="B15" s="3" t="s">
        <v>27</v>
      </c>
      <c r="C15" s="5">
        <v>2400</v>
      </c>
      <c r="D15" s="5">
        <v>96</v>
      </c>
      <c r="E15" s="5">
        <v>251.3</v>
      </c>
      <c r="F15" s="5">
        <v>108.2</v>
      </c>
      <c r="G15" s="5">
        <v>12</v>
      </c>
      <c r="H15" s="5">
        <v>1932.5</v>
      </c>
      <c r="I15" s="5">
        <v>226.55</v>
      </c>
      <c r="J15" s="5">
        <v>156</v>
      </c>
    </row>
    <row r="16" spans="1:10" ht="18" customHeight="1">
      <c r="A16" s="3" t="s">
        <v>28</v>
      </c>
      <c r="B16" s="3" t="s">
        <v>27</v>
      </c>
      <c r="C16" s="5">
        <v>2185</v>
      </c>
      <c r="D16" s="5">
        <v>65.55</v>
      </c>
      <c r="E16" s="5">
        <v>214.39</v>
      </c>
      <c r="F16" s="5">
        <v>91</v>
      </c>
      <c r="G16" s="5">
        <v>0</v>
      </c>
      <c r="H16" s="5">
        <v>1814.06</v>
      </c>
      <c r="I16" s="5">
        <v>196.88</v>
      </c>
      <c r="J16" s="5">
        <v>131.1</v>
      </c>
    </row>
    <row r="17" spans="1:10" ht="18" customHeight="1">
      <c r="A17" s="3" t="s">
        <v>29</v>
      </c>
      <c r="B17" s="3" t="s">
        <v>27</v>
      </c>
      <c r="C17" s="5">
        <v>2640</v>
      </c>
      <c r="D17" s="5">
        <v>132</v>
      </c>
      <c r="E17" s="5">
        <v>292.10000000000002</v>
      </c>
      <c r="F17" s="5">
        <v>127.4</v>
      </c>
      <c r="G17" s="5">
        <v>0</v>
      </c>
      <c r="H17" s="5">
        <v>2088.5</v>
      </c>
      <c r="I17" s="5">
        <v>259.67</v>
      </c>
      <c r="J17" s="5">
        <v>184.8</v>
      </c>
    </row>
    <row r="18" spans="1:10" ht="18" customHeight="1">
      <c r="A18" s="3" t="s">
        <v>30</v>
      </c>
      <c r="B18" s="3" t="s">
        <v>31</v>
      </c>
      <c r="C18" s="5">
        <v>3725</v>
      </c>
      <c r="D18" s="5">
        <v>186.25</v>
      </c>
      <c r="E18" s="5">
        <v>498.25</v>
      </c>
      <c r="F18" s="5">
        <v>214.2</v>
      </c>
      <c r="G18" s="5">
        <v>0</v>
      </c>
      <c r="H18" s="5">
        <v>2826.3</v>
      </c>
      <c r="I18" s="5">
        <v>409.4</v>
      </c>
      <c r="J18" s="5">
        <v>279.38</v>
      </c>
    </row>
    <row r="19" spans="1:10" ht="18" customHeight="1">
      <c r="A19" s="3" t="s">
        <v>32</v>
      </c>
      <c r="B19" s="3" t="s">
        <v>31</v>
      </c>
      <c r="C19" s="5">
        <v>3125</v>
      </c>
      <c r="D19" s="5">
        <v>156.25</v>
      </c>
      <c r="E19" s="5">
        <v>384.25</v>
      </c>
      <c r="F19" s="5">
        <v>166.2</v>
      </c>
      <c r="G19" s="5">
        <v>31.25</v>
      </c>
      <c r="H19" s="5">
        <v>2387.0500000000002</v>
      </c>
      <c r="I19" s="5">
        <v>326.60000000000002</v>
      </c>
      <c r="J19" s="5">
        <v>218.75</v>
      </c>
    </row>
    <row r="20" spans="1:10" ht="18" customHeight="1">
      <c r="A20" s="3" t="s">
        <v>33</v>
      </c>
      <c r="B20" s="3" t="s">
        <v>31</v>
      </c>
      <c r="C20" s="5">
        <v>4500</v>
      </c>
      <c r="D20" s="5">
        <v>315</v>
      </c>
      <c r="E20" s="5">
        <v>627.5</v>
      </c>
      <c r="F20" s="5">
        <v>257.55</v>
      </c>
      <c r="G20" s="5">
        <v>0</v>
      </c>
      <c r="H20" s="5">
        <v>3299.95</v>
      </c>
      <c r="I20" s="5">
        <v>516.35</v>
      </c>
      <c r="J20" s="5">
        <v>360</v>
      </c>
    </row>
    <row r="21" spans="1:10" ht="18" customHeight="1">
      <c r="A21" s="3" t="s">
        <v>34</v>
      </c>
      <c r="B21" s="3" t="s">
        <v>35</v>
      </c>
      <c r="C21" s="5">
        <v>2550</v>
      </c>
      <c r="D21" s="5">
        <v>127.5</v>
      </c>
      <c r="E21" s="5">
        <v>275</v>
      </c>
      <c r="F21" s="5">
        <v>120.2</v>
      </c>
      <c r="G21" s="5">
        <v>0</v>
      </c>
      <c r="H21" s="5">
        <v>2027.3</v>
      </c>
      <c r="I21" s="5">
        <v>247.25</v>
      </c>
      <c r="J21" s="5">
        <v>178.5</v>
      </c>
    </row>
    <row r="22" spans="1:10" ht="18" customHeight="1">
      <c r="A22" s="3" t="s">
        <v>36</v>
      </c>
      <c r="B22" s="3" t="s">
        <v>35</v>
      </c>
      <c r="C22" s="5">
        <v>2875</v>
      </c>
      <c r="D22" s="5">
        <v>143.75</v>
      </c>
      <c r="E22" s="5">
        <v>336.75</v>
      </c>
      <c r="F22" s="5">
        <v>146.19999999999999</v>
      </c>
      <c r="G22" s="5">
        <v>14.38</v>
      </c>
      <c r="H22" s="5">
        <v>2233.92</v>
      </c>
      <c r="I22" s="5">
        <v>292.10000000000002</v>
      </c>
      <c r="J22" s="5">
        <v>201.25</v>
      </c>
    </row>
    <row r="23" spans="1:10" ht="18" customHeight="1">
      <c r="A23" s="3" t="s">
        <v>37</v>
      </c>
      <c r="B23" s="3" t="s">
        <v>35</v>
      </c>
      <c r="C23" s="5">
        <v>2310</v>
      </c>
      <c r="D23" s="5">
        <v>92.4</v>
      </c>
      <c r="E23" s="5">
        <v>234.02</v>
      </c>
      <c r="F23" s="5">
        <v>101</v>
      </c>
      <c r="G23" s="5">
        <v>0</v>
      </c>
      <c r="H23" s="5">
        <v>1882.58</v>
      </c>
      <c r="I23" s="5">
        <v>214.13</v>
      </c>
      <c r="J23" s="5">
        <v>150.15</v>
      </c>
    </row>
    <row r="24" spans="1:10" ht="18" customHeight="1">
      <c r="A24" s="3" t="s">
        <v>38</v>
      </c>
      <c r="B24" s="3" t="s">
        <v>13</v>
      </c>
      <c r="C24" s="5">
        <v>4080</v>
      </c>
      <c r="D24" s="5">
        <v>244.8</v>
      </c>
      <c r="E24" s="5">
        <v>557.54</v>
      </c>
      <c r="F24" s="5">
        <v>242.6</v>
      </c>
      <c r="G24" s="5">
        <v>0</v>
      </c>
      <c r="H24" s="5">
        <v>3035.06</v>
      </c>
      <c r="I24" s="5">
        <v>458.39</v>
      </c>
      <c r="J24" s="5">
        <v>326.39999999999998</v>
      </c>
    </row>
    <row r="25" spans="1:10" ht="18" customHeight="1">
      <c r="A25" s="3" t="s">
        <v>39</v>
      </c>
      <c r="B25" s="3" t="s">
        <v>17</v>
      </c>
      <c r="C25" s="5">
        <v>3050</v>
      </c>
      <c r="D25" s="5">
        <v>152.5</v>
      </c>
      <c r="E25" s="5">
        <v>370</v>
      </c>
      <c r="F25" s="5">
        <v>160.19999999999999</v>
      </c>
      <c r="G25" s="5">
        <v>0</v>
      </c>
      <c r="H25" s="5">
        <v>2367.3000000000002</v>
      </c>
      <c r="I25" s="5">
        <v>316.25</v>
      </c>
      <c r="J25" s="5">
        <v>213.5</v>
      </c>
    </row>
    <row r="26" spans="1:10" ht="18" customHeight="1">
      <c r="A26" s="3" t="s">
        <v>40</v>
      </c>
      <c r="B26" s="3" t="s">
        <v>22</v>
      </c>
      <c r="C26" s="5">
        <v>2675</v>
      </c>
      <c r="D26" s="5">
        <v>133.75</v>
      </c>
      <c r="E26" s="5">
        <v>298.75</v>
      </c>
      <c r="F26" s="5">
        <v>130.19999999999999</v>
      </c>
      <c r="G26" s="5">
        <v>26.75</v>
      </c>
      <c r="H26" s="5">
        <v>2085.5500000000002</v>
      </c>
      <c r="I26" s="5">
        <v>264.5</v>
      </c>
      <c r="J26" s="5">
        <v>187.25</v>
      </c>
    </row>
    <row r="27" spans="1:10" ht="18" customHeight="1">
      <c r="A27" s="3" t="s">
        <v>41</v>
      </c>
      <c r="B27" s="3" t="s">
        <v>17</v>
      </c>
      <c r="C27" s="5">
        <v>4625</v>
      </c>
      <c r="D27" s="5">
        <v>323.75</v>
      </c>
      <c r="E27" s="5">
        <v>673.17</v>
      </c>
      <c r="F27" s="5">
        <v>260.05</v>
      </c>
      <c r="G27" s="5">
        <v>0</v>
      </c>
      <c r="H27" s="5">
        <v>3368.03</v>
      </c>
      <c r="I27" s="5">
        <v>533.6</v>
      </c>
      <c r="J27" s="5">
        <v>370</v>
      </c>
    </row>
    <row r="28" spans="1:10" ht="18" customHeight="1">
      <c r="A28" s="3" t="s">
        <v>42</v>
      </c>
      <c r="B28" s="3" t="s">
        <v>35</v>
      </c>
      <c r="C28" s="5">
        <v>3300</v>
      </c>
      <c r="D28" s="5">
        <v>165</v>
      </c>
      <c r="E28" s="5">
        <v>417.5</v>
      </c>
      <c r="F28" s="5">
        <v>180.2</v>
      </c>
      <c r="G28" s="5">
        <v>0</v>
      </c>
      <c r="H28" s="5">
        <v>2537.3000000000002</v>
      </c>
      <c r="I28" s="5">
        <v>350.75</v>
      </c>
      <c r="J28" s="5">
        <v>231</v>
      </c>
    </row>
    <row r="29" spans="1:10" ht="18" customHeight="1">
      <c r="A29" s="3" t="s">
        <v>43</v>
      </c>
      <c r="B29" s="3" t="s">
        <v>27</v>
      </c>
      <c r="C29" s="5">
        <v>2525</v>
      </c>
      <c r="D29" s="5">
        <v>101</v>
      </c>
      <c r="E29" s="5">
        <v>275.3</v>
      </c>
      <c r="F29" s="5">
        <v>118.2</v>
      </c>
      <c r="G29" s="5">
        <v>12.63</v>
      </c>
      <c r="H29" s="5">
        <v>2017.87</v>
      </c>
      <c r="I29" s="5">
        <v>243.8</v>
      </c>
      <c r="J29" s="5">
        <v>164.13</v>
      </c>
    </row>
    <row r="30" spans="1:10" ht="18" customHeight="1">
      <c r="A30" s="3" t="s">
        <v>44</v>
      </c>
      <c r="B30" s="3" t="s">
        <v>35</v>
      </c>
      <c r="C30" s="5">
        <v>2220</v>
      </c>
      <c r="D30" s="5">
        <v>66.599999999999994</v>
      </c>
      <c r="E30" s="5">
        <v>221.18</v>
      </c>
      <c r="F30" s="5">
        <v>93.8</v>
      </c>
      <c r="G30" s="5">
        <v>0</v>
      </c>
      <c r="H30" s="5">
        <v>1838.42</v>
      </c>
      <c r="I30" s="5">
        <v>201.71</v>
      </c>
      <c r="J30" s="5">
        <v>133.19999999999999</v>
      </c>
    </row>
    <row r="31" spans="1:10" ht="18" customHeight="1">
      <c r="A31" s="3" t="s">
        <v>45</v>
      </c>
      <c r="B31" s="3" t="s">
        <v>22</v>
      </c>
      <c r="C31" s="5">
        <v>5200</v>
      </c>
      <c r="D31" s="5">
        <v>364</v>
      </c>
      <c r="E31" s="5">
        <v>887.07</v>
      </c>
      <c r="F31" s="5">
        <v>271.55</v>
      </c>
      <c r="G31" s="5">
        <v>0</v>
      </c>
      <c r="H31" s="5">
        <v>3677.38</v>
      </c>
      <c r="I31" s="5">
        <v>612.95000000000005</v>
      </c>
      <c r="J31" s="5">
        <v>442</v>
      </c>
    </row>
    <row r="32" spans="1:10" ht="18" customHeight="1">
      <c r="A32" s="3" t="s">
        <v>46</v>
      </c>
      <c r="B32" s="3" t="s">
        <v>17</v>
      </c>
      <c r="C32" s="5">
        <v>3950</v>
      </c>
      <c r="D32" s="5">
        <v>237</v>
      </c>
      <c r="E32" s="5">
        <v>533.1</v>
      </c>
      <c r="F32" s="5">
        <v>232.2</v>
      </c>
      <c r="G32" s="5">
        <v>0</v>
      </c>
      <c r="H32" s="5">
        <v>2947.7</v>
      </c>
      <c r="I32" s="5">
        <v>440.45</v>
      </c>
      <c r="J32" s="5">
        <v>316</v>
      </c>
    </row>
    <row r="33" spans="1:10" ht="18" customHeight="1">
      <c r="A33" s="3" t="s">
        <v>47</v>
      </c>
      <c r="B33" s="3" t="s">
        <v>13</v>
      </c>
      <c r="C33" s="5">
        <v>4450</v>
      </c>
      <c r="D33" s="5">
        <v>311.5</v>
      </c>
      <c r="E33" s="5">
        <v>618.20000000000005</v>
      </c>
      <c r="F33" s="5">
        <v>256.55</v>
      </c>
      <c r="G33" s="5">
        <v>0</v>
      </c>
      <c r="H33" s="5">
        <v>3263.75</v>
      </c>
      <c r="I33" s="5">
        <v>509.45</v>
      </c>
      <c r="J33" s="5">
        <v>356</v>
      </c>
    </row>
    <row r="34" spans="1:10" ht="18" customHeight="1">
      <c r="A34" s="2" t="s">
        <v>48</v>
      </c>
      <c r="B34" s="2"/>
      <c r="C34" s="4">
        <f t="shared" ref="C34:J34" si="0">ROUND(SUM(C4:C33),2)</f>
        <v>97577</v>
      </c>
      <c r="D34" s="4">
        <f t="shared" si="0"/>
        <v>5173.6499999999996</v>
      </c>
      <c r="E34" s="4">
        <f t="shared" si="0"/>
        <v>12347.46</v>
      </c>
      <c r="F34" s="4">
        <f t="shared" si="0"/>
        <v>5170.41</v>
      </c>
      <c r="G34" s="4">
        <f t="shared" si="0"/>
        <v>173.51</v>
      </c>
      <c r="H34" s="4">
        <f t="shared" si="0"/>
        <v>74711.97</v>
      </c>
      <c r="I34" s="4">
        <f t="shared" si="0"/>
        <v>10326.129999999999</v>
      </c>
      <c r="J34" s="4">
        <f t="shared" si="0"/>
        <v>7142.75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raza</cp:lastModifiedBy>
  <dcterms:modified xsi:type="dcterms:W3CDTF">2026-05-21T21:54:56Z</dcterms:modified>
</cp:coreProperties>
</file>